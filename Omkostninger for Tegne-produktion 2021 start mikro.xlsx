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tman\Documents\Mikroøkonomi\"/>
    </mc:Choice>
  </mc:AlternateContent>
  <xr:revisionPtr revIDLastSave="0" documentId="8_{E55E8FB1-F41F-477E-9571-8F6041C6E62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roduktion" sheetId="1" r:id="rId1"/>
    <sheet name="Omsætning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J17" i="1"/>
  <c r="J18" i="1"/>
  <c r="J16" i="1"/>
  <c r="O15" i="1"/>
  <c r="K23" i="1"/>
  <c r="H18" i="1"/>
  <c r="H19" i="1"/>
  <c r="H22" i="1"/>
  <c r="H21" i="1"/>
  <c r="H20" i="1"/>
  <c r="H17" i="1"/>
  <c r="H16" i="1"/>
  <c r="H13" i="1"/>
  <c r="G22" i="1"/>
  <c r="G21" i="1"/>
  <c r="G20" i="1"/>
  <c r="G19" i="1"/>
  <c r="G18" i="1"/>
  <c r="G17" i="1"/>
  <c r="G16" i="1"/>
  <c r="I11" i="2"/>
  <c r="H10" i="2"/>
  <c r="G11" i="2"/>
  <c r="F11" i="2"/>
  <c r="E11" i="2"/>
  <c r="B11" i="2"/>
  <c r="A6" i="2" l="1"/>
  <c r="A7" i="2" s="1"/>
  <c r="A8" i="2" s="1"/>
  <c r="A9" i="2" s="1"/>
  <c r="A10" i="2" s="1"/>
  <c r="A11" i="2" s="1"/>
  <c r="B10" i="2"/>
  <c r="B9" i="2"/>
  <c r="B8" i="2"/>
  <c r="B7" i="2"/>
  <c r="B6" i="2"/>
  <c r="B5" i="2"/>
  <c r="C5" i="2" s="1"/>
  <c r="H5" i="2"/>
  <c r="E10" i="2"/>
  <c r="E9" i="2"/>
  <c r="H7" i="2"/>
  <c r="E6" i="2"/>
  <c r="E5" i="2"/>
  <c r="K11" i="2" l="1"/>
  <c r="C11" i="2"/>
  <c r="F10" i="2"/>
  <c r="G9" i="2"/>
  <c r="G8" i="2"/>
  <c r="H8" i="2"/>
  <c r="F7" i="2"/>
  <c r="I8" i="2"/>
  <c r="K8" i="2" s="1"/>
  <c r="F6" i="2"/>
  <c r="I6" i="2"/>
  <c r="K6" i="2" s="1"/>
  <c r="I10" i="2"/>
  <c r="K10" i="2" s="1"/>
  <c r="E7" i="2"/>
  <c r="F8" i="2"/>
  <c r="E8" i="2"/>
  <c r="G7" i="2"/>
  <c r="H9" i="2"/>
  <c r="G5" i="2"/>
  <c r="H6" i="2"/>
  <c r="H11" i="2"/>
  <c r="G6" i="2"/>
  <c r="G10" i="2"/>
  <c r="D5" i="2"/>
  <c r="C7" i="2"/>
  <c r="C9" i="2"/>
  <c r="C6" i="2"/>
  <c r="C8" i="2"/>
  <c r="C10" i="2"/>
  <c r="J11" i="2" l="1"/>
  <c r="D11" i="2"/>
  <c r="I7" i="2"/>
  <c r="K7" i="2" s="1"/>
  <c r="I9" i="2"/>
  <c r="K9" i="2" s="1"/>
  <c r="F9" i="2"/>
  <c r="J9" i="2" s="1"/>
  <c r="I5" i="2"/>
  <c r="K5" i="2" s="1"/>
  <c r="F5" i="2"/>
  <c r="J5" i="2" s="1"/>
  <c r="J8" i="2"/>
  <c r="D8" i="2"/>
  <c r="D9" i="2"/>
  <c r="J10" i="2"/>
  <c r="D10" i="2"/>
  <c r="J6" i="2"/>
  <c r="D6" i="2"/>
  <c r="J7" i="2"/>
  <c r="D7" i="2"/>
</calcChain>
</file>

<file path=xl/sharedStrings.xml><?xml version="1.0" encoding="utf-8"?>
<sst xmlns="http://schemas.openxmlformats.org/spreadsheetml/2006/main" count="43" uniqueCount="38">
  <si>
    <t>TEGNESTUE A/S</t>
  </si>
  <si>
    <t xml:space="preserve"> </t>
  </si>
  <si>
    <t>Produktion: High Class painting</t>
  </si>
  <si>
    <t>Produktion-tid/</t>
  </si>
  <si>
    <t>Produktionsfaktorer:</t>
  </si>
  <si>
    <t>Arbejds-tid:</t>
  </si>
  <si>
    <t>1 time</t>
  </si>
  <si>
    <t>Pris pr. enhed - kr.</t>
  </si>
  <si>
    <t>Faste:</t>
  </si>
  <si>
    <t>Saks</t>
  </si>
  <si>
    <t>Tuscher</t>
  </si>
  <si>
    <t>Variable</t>
  </si>
  <si>
    <t>Arbejdskraft</t>
  </si>
  <si>
    <t>Total produktion/ 
Antal billeder
 (M)</t>
  </si>
  <si>
    <t>Gennemsnitsprodukt
(GNSP) Tabel 4.1</t>
  </si>
  <si>
    <t>Grænseprodukt
 (GP) Tabel 4.1</t>
  </si>
  <si>
    <t>Faste
 omkostninger
 (FO)</t>
  </si>
  <si>
    <t>Variable 
omkostninger 
(VO)</t>
  </si>
  <si>
    <t>Total 
 omkostninger 
(TO)</t>
  </si>
  <si>
    <t>Faste 
enhedsomkostninger (FE) Tabel 4.2</t>
  </si>
  <si>
    <t>Variable 
enheds-
omkostninger (VE)</t>
  </si>
  <si>
    <t>Totale enhedsom-kostninger (TE)</t>
  </si>
  <si>
    <t>Grænseom-kostninger (GROMK)</t>
  </si>
  <si>
    <t>Arbejdskraft, antal:</t>
  </si>
  <si>
    <t>-</t>
  </si>
  <si>
    <r>
      <rPr>
        <b/>
        <sz val="20"/>
        <color theme="3" tint="0.39997558519241921"/>
        <rFont val="Calibri"/>
        <family val="2"/>
        <scheme val="minor"/>
      </rPr>
      <t>TEGNESTUE A/S: High Class paintin</t>
    </r>
    <r>
      <rPr>
        <b/>
        <sz val="20"/>
        <color rgb="FF00B050"/>
        <rFont val="Calibri"/>
        <family val="2"/>
        <scheme val="minor"/>
      </rPr>
      <t>g</t>
    </r>
  </si>
  <si>
    <t>Pris</t>
  </si>
  <si>
    <t>Antal solgte
 enheder</t>
  </si>
  <si>
    <t>Omsætning</t>
  </si>
  <si>
    <t>Grænseomsætning 
(GROMS)</t>
  </si>
  <si>
    <t>Variable 
omkostninger</t>
  </si>
  <si>
    <t>Totale 
omkostninger</t>
  </si>
  <si>
    <t>Variable 
enhedsomkostninger</t>
  </si>
  <si>
    <t>Grænseomkostninger 
(GROMK)</t>
  </si>
  <si>
    <t>Totale
 enhedsomkostninger</t>
  </si>
  <si>
    <t>Profit (oms-to)</t>
  </si>
  <si>
    <t>Profit (P-TE)*M</t>
  </si>
  <si>
    <t>2.5=E16/F16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</si>
</sst>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3" tint="0.3999755851924192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6" fillId="4" borderId="0" xfId="0" applyFont="1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689086278008349E-2"/>
          <c:y val="9.2763629771503792E-2"/>
          <c:w val="0.88512003326316968"/>
          <c:h val="0.81594836359740763"/>
        </c:manualLayout>
      </c:layout>
      <c:scatterChart>
        <c:scatterStyle val="lineMarker"/>
        <c:varyColors val="0"/>
        <c:ser>
          <c:idx val="0"/>
          <c:order val="0"/>
          <c:tx>
            <c:v>TP</c:v>
          </c:tx>
          <c:xVal>
            <c:numRef>
              <c:f>Produktion!$E$15:$E$22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Produktion!$F$15:$F$22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BF-4CAD-87C5-C7F160A1F195}"/>
            </c:ext>
          </c:extLst>
        </c:ser>
        <c:ser>
          <c:idx val="1"/>
          <c:order val="1"/>
          <c:tx>
            <c:v>GEP</c:v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Produktion!$E$15:$E$22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Produktion!$G$15:$G$22</c:f>
              <c:numCache>
                <c:formatCode>0.0</c:formatCode>
                <c:ptCount val="8"/>
                <c:pt idx="0">
                  <c:v>0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  <c:pt idx="4">
                  <c:v>3.5</c:v>
                </c:pt>
                <c:pt idx="5">
                  <c:v>3.4</c:v>
                </c:pt>
                <c:pt idx="6">
                  <c:v>3.1666666666666665</c:v>
                </c:pt>
                <c:pt idx="7">
                  <c:v>2.8571428571428572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BF-4CAD-87C5-C7F160A1F195}"/>
            </c:ext>
          </c:extLst>
        </c:ser>
        <c:ser>
          <c:idx val="2"/>
          <c:order val="2"/>
          <c:tx>
            <c:v>GP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Produktion!$E$15:$E$22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Produktion!$H$15:$H$22</c:f>
              <c:numCache>
                <c:formatCode>0.00</c:formatCode>
                <c:ptCount val="8"/>
                <c:pt idx="0" formatCode="General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BF-4CAD-87C5-C7F160A1F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48896"/>
        <c:axId val="77449472"/>
      </c:scatterChart>
      <c:valAx>
        <c:axId val="774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449472"/>
        <c:crosses val="autoZero"/>
        <c:crossBetween val="midCat"/>
        <c:majorUnit val="1"/>
      </c:valAx>
      <c:valAx>
        <c:axId val="77449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448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9984158415841582"/>
          <c:y val="0.32710018390558387"/>
          <c:w val="0.26810250997324714"/>
          <c:h val="0.2325776641263893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217548490648046E-2"/>
          <c:y val="5.5699641318420104E-2"/>
          <c:w val="0.87321562401441244"/>
          <c:h val="0.81010753254505463"/>
        </c:manualLayout>
      </c:layout>
      <c:scatterChart>
        <c:scatterStyle val="lineMarker"/>
        <c:varyColors val="0"/>
        <c:ser>
          <c:idx val="0"/>
          <c:order val="0"/>
          <c:tx>
            <c:v>FO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Produktion!$F$15:$F$22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</c:numCache>
            </c:numRef>
          </c:xVal>
          <c:yVal>
            <c:numRef>
              <c:f>Produktion!$I$15:$I$22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D-453D-ACF4-78FAF441F45D}"/>
            </c:ext>
          </c:extLst>
        </c:ser>
        <c:ser>
          <c:idx val="1"/>
          <c:order val="1"/>
          <c:tx>
            <c:v>VO</c:v>
          </c:tx>
          <c:spPr>
            <a:ln>
              <a:solidFill>
                <a:schemeClr val="tx2"/>
              </a:solidFill>
            </a:ln>
          </c:spPr>
          <c:marker>
            <c:spPr>
              <a:solidFill>
                <a:schemeClr val="tx2"/>
              </a:solidFill>
              <a:ln>
                <a:noFill/>
              </a:ln>
            </c:spPr>
          </c:marker>
          <c:xVal>
            <c:numRef>
              <c:f>Produktion!$F$15:$F$22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</c:numCache>
            </c:numRef>
          </c:xVal>
          <c:yVal>
            <c:numRef>
              <c:f>Produktion!$J$15:$J$22</c:f>
              <c:numCache>
                <c:formatCode>General</c:formatCode>
                <c:ptCount val="8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9D-453D-ACF4-78FAF441F45D}"/>
            </c:ext>
          </c:extLst>
        </c:ser>
        <c:ser>
          <c:idx val="2"/>
          <c:order val="2"/>
          <c:tx>
            <c:v>TO</c:v>
          </c:tx>
          <c:xVal>
            <c:numRef>
              <c:f>Produktion!$F$15:$F$22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9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20</c:v>
                </c:pt>
              </c:numCache>
            </c:numRef>
          </c:xVal>
          <c:yVal>
            <c:numRef>
              <c:f>Produktion!$K$15:$K$22</c:f>
              <c:numCache>
                <c:formatCode>General</c:formatCode>
                <c:ptCount val="8"/>
                <c:pt idx="1">
                  <c:v>150</c:v>
                </c:pt>
                <c:pt idx="2">
                  <c:v>250</c:v>
                </c:pt>
                <c:pt idx="3">
                  <c:v>350</c:v>
                </c:pt>
                <c:pt idx="4">
                  <c:v>450</c:v>
                </c:pt>
                <c:pt idx="5">
                  <c:v>550</c:v>
                </c:pt>
                <c:pt idx="6">
                  <c:v>650</c:v>
                </c:pt>
                <c:pt idx="7">
                  <c:v>750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9D-453D-ACF4-78FAF441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51776"/>
        <c:axId val="77452352"/>
      </c:scatterChart>
      <c:valAx>
        <c:axId val="7745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7452352"/>
        <c:crosses val="autoZero"/>
        <c:crossBetween val="midCat"/>
      </c:valAx>
      <c:valAx>
        <c:axId val="77452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74517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415205991308113"/>
          <c:y val="0.18729377891308738"/>
          <c:w val="0.33854082755784659"/>
          <c:h val="0.4035562109920208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206484314848"/>
          <c:y val="0.12746249784470373"/>
          <c:w val="0.86270980012871079"/>
          <c:h val="0.8217448432442892"/>
        </c:manualLayout>
      </c:layout>
      <c:scatterChart>
        <c:scatterStyle val="lineMarker"/>
        <c:varyColors val="0"/>
        <c:ser>
          <c:idx val="0"/>
          <c:order val="0"/>
          <c:tx>
            <c:v>FE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Produktion!$F$16:$F$22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19</c:v>
                </c:pt>
                <c:pt idx="6">
                  <c:v>20</c:v>
                </c:pt>
              </c:numCache>
            </c:numRef>
          </c:xVal>
          <c:yVal>
            <c:numRef>
              <c:f>Produktion!$L$16:$L$22</c:f>
              <c:numCache>
                <c:formatCode>0.0</c:formatCode>
                <c:ptCount val="7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C-4EE2-A719-37ADDBE31475}"/>
            </c:ext>
          </c:extLst>
        </c:ser>
        <c:ser>
          <c:idx val="1"/>
          <c:order val="1"/>
          <c:tx>
            <c:v>VE</c:v>
          </c:tx>
          <c:spPr>
            <a:ln>
              <a:solidFill>
                <a:schemeClr val="tx2"/>
              </a:solidFill>
            </a:ln>
          </c:spPr>
          <c:marker>
            <c:spPr>
              <a:solidFill>
                <a:schemeClr val="tx2"/>
              </a:solidFill>
              <a:ln>
                <a:noFill/>
              </a:ln>
            </c:spPr>
          </c:marker>
          <c:xVal>
            <c:numRef>
              <c:f>Produktion!$F$16:$F$22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19</c:v>
                </c:pt>
                <c:pt idx="6">
                  <c:v>20</c:v>
                </c:pt>
              </c:numCache>
            </c:numRef>
          </c:xVal>
          <c:yVal>
            <c:numRef>
              <c:f>Produktion!$M$16:$M$22</c:f>
              <c:numCache>
                <c:formatCode>0.0</c:formatCode>
                <c:ptCount val="7"/>
                <c:pt idx="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6C-4EE2-A719-37ADDBE31475}"/>
            </c:ext>
          </c:extLst>
        </c:ser>
        <c:ser>
          <c:idx val="2"/>
          <c:order val="2"/>
          <c:tx>
            <c:v>TE</c:v>
          </c:tx>
          <c:xVal>
            <c:numRef>
              <c:f>Produktion!$F$16:$F$22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19</c:v>
                </c:pt>
                <c:pt idx="6">
                  <c:v>20</c:v>
                </c:pt>
              </c:numCache>
            </c:numRef>
          </c:xVal>
          <c:yVal>
            <c:numRef>
              <c:f>Produktion!$N$16:$N$22</c:f>
              <c:numCache>
                <c:formatCode>0.0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6C-4EE2-A719-37ADDBE31475}"/>
            </c:ext>
          </c:extLst>
        </c:ser>
        <c:ser>
          <c:idx val="3"/>
          <c:order val="3"/>
          <c:tx>
            <c:v>GROMK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Produktion!$F$16:$F$22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14</c:v>
                </c:pt>
                <c:pt idx="4">
                  <c:v>17</c:v>
                </c:pt>
                <c:pt idx="5">
                  <c:v>19</c:v>
                </c:pt>
                <c:pt idx="6">
                  <c:v>20</c:v>
                </c:pt>
              </c:numCache>
            </c:numRef>
          </c:xVal>
          <c:yVal>
            <c:numRef>
              <c:f>Produktion!$O$16:$O$22</c:f>
              <c:numCache>
                <c:formatCode>0.0</c:formatCode>
                <c:ptCount val="7"/>
                <c:pt idx="0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6C-4EE2-A719-37ADDBE31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54656"/>
        <c:axId val="88276992"/>
      </c:scatterChart>
      <c:valAx>
        <c:axId val="7745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276992"/>
        <c:crosses val="autoZero"/>
        <c:crossBetween val="midCat"/>
        <c:majorUnit val="1"/>
      </c:valAx>
      <c:valAx>
        <c:axId val="8827699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74546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4168154299091008"/>
          <c:y val="0.21492499568940743"/>
          <c:w val="8.3222833326738674E-2"/>
          <c:h val="0.155551943103886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152400</xdr:rowOff>
    </xdr:from>
    <xdr:to>
      <xdr:col>7</xdr:col>
      <xdr:colOff>333375</xdr:colOff>
      <xdr:row>41</xdr:row>
      <xdr:rowOff>123825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342899</xdr:colOff>
      <xdr:row>23</xdr:row>
      <xdr:rowOff>76200</xdr:rowOff>
    </xdr:from>
    <xdr:to>
      <xdr:col>11</xdr:col>
      <xdr:colOff>104775</xdr:colOff>
      <xdr:row>41</xdr:row>
      <xdr:rowOff>180975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180974</xdr:colOff>
      <xdr:row>22</xdr:row>
      <xdr:rowOff>95250</xdr:rowOff>
    </xdr:from>
    <xdr:to>
      <xdr:col>24</xdr:col>
      <xdr:colOff>304799</xdr:colOff>
      <xdr:row>53</xdr:row>
      <xdr:rowOff>95250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0.07308</cdr:x>
      <cdr:y>0.02572</cdr:y>
    </cdr:from>
    <cdr:to>
      <cdr:x>0.25769</cdr:x>
      <cdr:y>0.33441</cdr:y>
    </cdr:to>
    <cdr:sp macro="" textlink="">
      <cdr:nvSpPr>
        <cdr:cNvPr id="2" name="Tekstboks 1"/>
        <cdr:cNvSpPr txBox="1"/>
      </cdr:nvSpPr>
      <cdr:spPr>
        <a:xfrm xmlns:a="http://schemas.openxmlformats.org/drawingml/2006/main">
          <a:off x="361951" y="762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100" b="1"/>
            <a:t>Antal</a:t>
          </a:r>
          <a:r>
            <a:rPr lang="da-DK" sz="1100" b="1" baseline="0"/>
            <a:t>  billeder</a:t>
          </a:r>
        </a:p>
        <a:p xmlns:a="http://schemas.openxmlformats.org/drawingml/2006/main">
          <a:endParaRPr lang="da-DK" sz="1100" baseline="0"/>
        </a:p>
        <a:p xmlns:a="http://schemas.openxmlformats.org/drawingml/2006/main">
          <a:endParaRPr lang="da-DK" sz="1100"/>
        </a:p>
      </cdr:txBody>
    </cdr:sp>
  </cdr:relSizeAnchor>
  <cdr:relSizeAnchor xmlns:cdr="http://schemas.openxmlformats.org/drawingml/2006/chartDrawing">
    <cdr:from>
      <cdr:x>0.55158</cdr:x>
      <cdr:y>0.88103</cdr:y>
    </cdr:from>
    <cdr:to>
      <cdr:x>0.94389</cdr:x>
      <cdr:y>1</cdr:y>
    </cdr:to>
    <cdr:sp macro="" textlink="">
      <cdr:nvSpPr>
        <cdr:cNvPr id="3" name="Tekstboks 2"/>
        <cdr:cNvSpPr txBox="1"/>
      </cdr:nvSpPr>
      <cdr:spPr>
        <a:xfrm xmlns:a="http://schemas.openxmlformats.org/drawingml/2006/main">
          <a:off x="2133053" y="2794473"/>
          <a:ext cx="1517122" cy="377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100"/>
            <a:t>          </a:t>
          </a:r>
          <a:r>
            <a:rPr lang="da-DK" sz="1100" b="1"/>
            <a:t>Enheder</a:t>
          </a:r>
          <a:r>
            <a:rPr lang="da-DK" sz="1100" b="1" baseline="0"/>
            <a:t>  Arbejdskraft</a:t>
          </a:r>
        </a:p>
        <a:p xmlns:a="http://schemas.openxmlformats.org/drawingml/2006/main">
          <a:endParaRPr lang="da-DK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0.42159</cdr:x>
      <cdr:y>0</cdr:y>
    </cdr:from>
    <cdr:to>
      <cdr:x>0.73727</cdr:x>
      <cdr:y>0.32441</cdr:y>
    </cdr:to>
    <cdr:sp macro="" textlink="">
      <cdr:nvSpPr>
        <cdr:cNvPr id="2" name="Tekstboks 1"/>
        <cdr:cNvSpPr txBox="1"/>
      </cdr:nvSpPr>
      <cdr:spPr>
        <a:xfrm xmlns:a="http://schemas.openxmlformats.org/drawingml/2006/main">
          <a:off x="1971675" y="0"/>
          <a:ext cx="1476375" cy="9239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600" b="1"/>
            <a:t>Omkostninger</a:t>
          </a:r>
        </a:p>
      </cdr:txBody>
    </cdr:sp>
  </cdr:relSizeAnchor>
  <cdr:relSizeAnchor xmlns:cdr="http://schemas.openxmlformats.org/drawingml/2006/chartDrawing">
    <cdr:from>
      <cdr:x>0.80448</cdr:x>
      <cdr:y>0.67893</cdr:y>
    </cdr:from>
    <cdr:to>
      <cdr:x>1</cdr:x>
      <cdr:y>1</cdr:y>
    </cdr:to>
    <cdr:sp macro="" textlink="">
      <cdr:nvSpPr>
        <cdr:cNvPr id="3" name="Tekstboks 2"/>
        <cdr:cNvSpPr txBox="1"/>
      </cdr:nvSpPr>
      <cdr:spPr>
        <a:xfrm xmlns:a="http://schemas.openxmlformats.org/drawingml/2006/main">
          <a:off x="4314826" y="23812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da-DK" sz="1100"/>
        </a:p>
      </cdr:txBody>
    </cdr:sp>
  </cdr:relSizeAnchor>
  <cdr:relSizeAnchor xmlns:cdr="http://schemas.openxmlformats.org/drawingml/2006/chartDrawing">
    <cdr:from>
      <cdr:x>0.79226</cdr:x>
      <cdr:y>0.67893</cdr:y>
    </cdr:from>
    <cdr:to>
      <cdr:x>0.98778</cdr:x>
      <cdr:y>1</cdr:y>
    </cdr:to>
    <cdr:sp macro="" textlink="">
      <cdr:nvSpPr>
        <cdr:cNvPr id="4" name="Tekstboks 3"/>
        <cdr:cNvSpPr txBox="1"/>
      </cdr:nvSpPr>
      <cdr:spPr>
        <a:xfrm xmlns:a="http://schemas.openxmlformats.org/drawingml/2006/main">
          <a:off x="3705225" y="20288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100" b="1"/>
            <a:t>Antal billeder</a:t>
          </a:r>
        </a:p>
      </cdr:txBody>
    </cdr:sp>
  </cdr:relSizeAnchor>
  <cdr:relSizeAnchor xmlns:cdr="http://schemas.openxmlformats.org/drawingml/2006/chartDrawing">
    <cdr:from>
      <cdr:x>0.0998</cdr:x>
      <cdr:y>0.0301</cdr:y>
    </cdr:from>
    <cdr:to>
      <cdr:x>0.29532</cdr:x>
      <cdr:y>0.35117</cdr:y>
    </cdr:to>
    <cdr:sp macro="" textlink="">
      <cdr:nvSpPr>
        <cdr:cNvPr id="5" name="Tekstboks 4"/>
        <cdr:cNvSpPr txBox="1"/>
      </cdr:nvSpPr>
      <cdr:spPr>
        <a:xfrm xmlns:a="http://schemas.openxmlformats.org/drawingml/2006/main">
          <a:off x="466726" y="857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200" b="1"/>
            <a:t>kr.</a:t>
          </a:r>
        </a:p>
        <a:p xmlns:a="http://schemas.openxmlformats.org/drawingml/2006/main">
          <a:endParaRPr lang="da-DK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0.16918</cdr:x>
      <cdr:y>1.69334E-7</cdr:y>
    </cdr:from>
    <cdr:to>
      <cdr:x>0.50793</cdr:x>
      <cdr:y>0.0871</cdr:y>
    </cdr:to>
    <cdr:sp macro="" textlink="">
      <cdr:nvSpPr>
        <cdr:cNvPr id="2" name="Tekstboks 1"/>
        <cdr:cNvSpPr txBox="1"/>
      </cdr:nvSpPr>
      <cdr:spPr>
        <a:xfrm xmlns:a="http://schemas.openxmlformats.org/drawingml/2006/main">
          <a:off x="1603382" y="1"/>
          <a:ext cx="3210461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600" b="1"/>
            <a:t>Omkostningskurver</a:t>
          </a:r>
          <a:r>
            <a:rPr lang="da-DK" sz="1600" b="1" baseline="0"/>
            <a:t> på kort sigt</a:t>
          </a:r>
          <a:endParaRPr lang="da-DK" sz="1600" b="1"/>
        </a:p>
        <a:p xmlns:a="http://schemas.openxmlformats.org/drawingml/2006/main">
          <a:endParaRPr lang="da-DK" sz="1100"/>
        </a:p>
      </cdr:txBody>
    </cdr:sp>
  </cdr:relSizeAnchor>
  <cdr:relSizeAnchor xmlns:cdr="http://schemas.openxmlformats.org/drawingml/2006/chartDrawing">
    <cdr:from>
      <cdr:x>0.6699</cdr:x>
      <cdr:y>0.83129</cdr:y>
    </cdr:from>
    <cdr:to>
      <cdr:x>0.88738</cdr:x>
      <cdr:y>1</cdr:y>
    </cdr:to>
    <cdr:sp macro="" textlink="">
      <cdr:nvSpPr>
        <cdr:cNvPr id="3" name="Tekstboks 2"/>
        <cdr:cNvSpPr txBox="1"/>
      </cdr:nvSpPr>
      <cdr:spPr>
        <a:xfrm xmlns:a="http://schemas.openxmlformats.org/drawingml/2006/main">
          <a:off x="3286126" y="2638424"/>
          <a:ext cx="1066800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200" b="1"/>
            <a:t>Antal billeder</a:t>
          </a:r>
        </a:p>
      </cdr:txBody>
    </cdr:sp>
  </cdr:relSizeAnchor>
  <cdr:relSizeAnchor xmlns:cdr="http://schemas.openxmlformats.org/drawingml/2006/chartDrawing">
    <cdr:from>
      <cdr:x>0.11262</cdr:x>
      <cdr:y>0.10123</cdr:y>
    </cdr:from>
    <cdr:to>
      <cdr:x>0.29903</cdr:x>
      <cdr:y>0.39571</cdr:y>
    </cdr:to>
    <cdr:sp macro="" textlink="">
      <cdr:nvSpPr>
        <cdr:cNvPr id="4" name="Tekstboks 3"/>
        <cdr:cNvSpPr txBox="1"/>
      </cdr:nvSpPr>
      <cdr:spPr>
        <a:xfrm xmlns:a="http://schemas.openxmlformats.org/drawingml/2006/main">
          <a:off x="552451" y="31432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r>
            <a:rPr lang="da-DK" sz="1200" b="1"/>
            <a:t>kr.</a:t>
          </a:r>
        </a:p>
      </cdr:txBody>
    </cdr:sp>
  </cdr:relSizeAnchor>
</c:userShape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3"/>
  <sheetViews>
    <sheetView tabSelected="1" topLeftCell="D1" zoomScale="110" zoomScaleNormal="110" workbookViewId="0">
      <selection activeCell="K5" sqref="K5"/>
    </sheetView>
  </sheetViews>
  <sheetFormatPr defaultRowHeight="15" x14ac:dyDescent="0.25"/>
  <cols>
    <col min="1" max="3" width="0" hidden="1" customWidth="1"/>
    <col min="4" max="4" width="19" bestFit="1" customWidth="1"/>
    <col min="5" max="5" width="7.7109375" customWidth="1"/>
    <col min="6" max="6" width="17.42578125" customWidth="1"/>
    <col min="7" max="7" width="18" customWidth="1"/>
    <col min="8" max="8" width="17.7109375" customWidth="1"/>
    <col min="9" max="9" width="15.85546875" customWidth="1"/>
    <col min="10" max="10" width="16.140625" customWidth="1"/>
    <col min="11" max="11" width="14.85546875" customWidth="1"/>
    <col min="12" max="12" width="20" customWidth="1"/>
    <col min="13" max="13" width="13.5703125" customWidth="1"/>
    <col min="14" max="14" width="10.85546875" customWidth="1"/>
    <col min="15" max="15" width="13.5703125" customWidth="1"/>
  </cols>
  <sheetData>
    <row r="1" spans="2:16" ht="33.75" x14ac:dyDescent="0.5">
      <c r="G1" s="1" t="s">
        <v>0</v>
      </c>
      <c r="H1" s="2"/>
      <c r="I1" s="2"/>
      <c r="J1" s="2"/>
    </row>
    <row r="2" spans="2:16" x14ac:dyDescent="0.25">
      <c r="E2" t="s">
        <v>1</v>
      </c>
    </row>
    <row r="3" spans="2:16" ht="26.25" x14ac:dyDescent="0.4">
      <c r="E3" t="s">
        <v>1</v>
      </c>
      <c r="F3" s="16" t="s">
        <v>2</v>
      </c>
      <c r="G3" s="12"/>
      <c r="H3" s="12"/>
    </row>
    <row r="4" spans="2:16" ht="15.75" x14ac:dyDescent="0.25">
      <c r="B4" s="5"/>
      <c r="E4" t="s">
        <v>1</v>
      </c>
      <c r="J4" s="5" t="s">
        <v>3</v>
      </c>
    </row>
    <row r="5" spans="2:16" ht="18.75" x14ac:dyDescent="0.3">
      <c r="F5" s="4" t="s">
        <v>4</v>
      </c>
      <c r="J5" s="5" t="s">
        <v>5</v>
      </c>
      <c r="K5" s="5" t="s">
        <v>6</v>
      </c>
    </row>
    <row r="6" spans="2:16" x14ac:dyDescent="0.25">
      <c r="H6" t="s">
        <v>7</v>
      </c>
    </row>
    <row r="7" spans="2:16" x14ac:dyDescent="0.25">
      <c r="E7" t="s">
        <v>1</v>
      </c>
      <c r="F7" s="3" t="s">
        <v>8</v>
      </c>
    </row>
    <row r="8" spans="2:16" x14ac:dyDescent="0.25">
      <c r="G8" t="s">
        <v>9</v>
      </c>
      <c r="H8" s="9">
        <v>10</v>
      </c>
    </row>
    <row r="9" spans="2:16" x14ac:dyDescent="0.25">
      <c r="G9" t="s">
        <v>10</v>
      </c>
      <c r="H9" s="9">
        <v>10</v>
      </c>
    </row>
    <row r="10" spans="2:16" x14ac:dyDescent="0.25">
      <c r="F10" s="3" t="s">
        <v>11</v>
      </c>
      <c r="H10" s="9"/>
    </row>
    <row r="11" spans="2:16" x14ac:dyDescent="0.25">
      <c r="G11" t="s">
        <v>12</v>
      </c>
      <c r="H11" s="9">
        <v>100</v>
      </c>
    </row>
    <row r="13" spans="2:16" x14ac:dyDescent="0.25">
      <c r="H13">
        <f>F16-F15/E16-15</f>
        <v>-13</v>
      </c>
    </row>
    <row r="14" spans="2:16" ht="60" x14ac:dyDescent="0.25">
      <c r="F14" s="7" t="s">
        <v>13</v>
      </c>
      <c r="G14" s="6" t="s">
        <v>14</v>
      </c>
      <c r="H14" s="6" t="s">
        <v>15</v>
      </c>
      <c r="I14" s="6" t="s">
        <v>16</v>
      </c>
      <c r="J14" s="6" t="s">
        <v>17</v>
      </c>
      <c r="K14" s="6" t="s">
        <v>18</v>
      </c>
      <c r="L14" s="6" t="s">
        <v>19</v>
      </c>
      <c r="M14" s="6" t="s">
        <v>20</v>
      </c>
      <c r="N14" s="6" t="s">
        <v>21</v>
      </c>
      <c r="O14" s="6" t="s">
        <v>22</v>
      </c>
      <c r="P14" s="6"/>
    </row>
    <row r="15" spans="2:16" x14ac:dyDescent="0.25">
      <c r="D15" s="8" t="s">
        <v>23</v>
      </c>
      <c r="E15" s="9">
        <v>0</v>
      </c>
      <c r="F15" s="9">
        <v>0</v>
      </c>
      <c r="G15" s="11" t="s">
        <v>24</v>
      </c>
      <c r="H15" s="9" t="s">
        <v>24</v>
      </c>
      <c r="I15" s="9">
        <v>50</v>
      </c>
      <c r="J15" s="9">
        <v>0</v>
      </c>
      <c r="K15" s="9"/>
      <c r="L15" s="9"/>
      <c r="M15" s="9"/>
      <c r="N15" s="9"/>
      <c r="O15" s="9">
        <f>-K15</f>
        <v>0</v>
      </c>
    </row>
    <row r="16" spans="2:16" x14ac:dyDescent="0.25">
      <c r="E16" s="10">
        <v>1</v>
      </c>
      <c r="F16" s="9">
        <v>2</v>
      </c>
      <c r="G16" s="11">
        <f>F16/E16</f>
        <v>2</v>
      </c>
      <c r="H16" s="15">
        <f>F16-F15/E16-E15</f>
        <v>2</v>
      </c>
      <c r="I16" s="9">
        <v>50</v>
      </c>
      <c r="J16" s="9">
        <f>H11*E16</f>
        <v>100</v>
      </c>
      <c r="K16" s="9">
        <v>150</v>
      </c>
      <c r="L16" s="11" t="s">
        <v>37</v>
      </c>
      <c r="M16" s="11">
        <v>50</v>
      </c>
      <c r="N16" s="11"/>
      <c r="O16" s="11">
        <f>(K16-K15)/(F16-F15)</f>
        <v>75</v>
      </c>
    </row>
    <row r="17" spans="5:15" x14ac:dyDescent="0.25">
      <c r="E17" s="10">
        <v>2</v>
      </c>
      <c r="F17" s="9">
        <v>5</v>
      </c>
      <c r="G17" s="11">
        <f>F17/E17</f>
        <v>2.5</v>
      </c>
      <c r="H17" s="15">
        <f>(F17-F16)/(E17-E16)</f>
        <v>3</v>
      </c>
      <c r="I17" s="9">
        <v>50</v>
      </c>
      <c r="J17" s="9">
        <f>H11*E17</f>
        <v>200</v>
      </c>
      <c r="K17" s="9">
        <v>250</v>
      </c>
      <c r="L17" s="11"/>
      <c r="M17" s="11"/>
      <c r="N17" s="11"/>
      <c r="O17" s="11"/>
    </row>
    <row r="18" spans="5:15" x14ac:dyDescent="0.25">
      <c r="E18" s="10">
        <v>3</v>
      </c>
      <c r="F18" s="9">
        <v>9</v>
      </c>
      <c r="G18" s="11">
        <f>F18/E18</f>
        <v>3</v>
      </c>
      <c r="H18" s="15">
        <f>(F18-F17)/(E18-E17)</f>
        <v>4</v>
      </c>
      <c r="I18" s="9">
        <v>50</v>
      </c>
      <c r="J18" s="9">
        <f>H11*E18</f>
        <v>300</v>
      </c>
      <c r="K18" s="9">
        <v>350</v>
      </c>
      <c r="L18" s="11"/>
      <c r="M18" s="11"/>
      <c r="N18" s="11"/>
      <c r="O18" s="9"/>
    </row>
    <row r="19" spans="5:15" x14ac:dyDescent="0.25">
      <c r="E19" s="10">
        <v>4</v>
      </c>
      <c r="F19" s="9">
        <v>14</v>
      </c>
      <c r="G19" s="11">
        <f>F19/E19</f>
        <v>3.5</v>
      </c>
      <c r="H19" s="15">
        <f>(F19-F18)/(E19-E18)</f>
        <v>5</v>
      </c>
      <c r="I19" s="9">
        <v>50</v>
      </c>
      <c r="J19" s="9">
        <v>400</v>
      </c>
      <c r="K19" s="9">
        <v>450</v>
      </c>
      <c r="L19" s="11"/>
      <c r="M19" s="11"/>
      <c r="N19" s="11"/>
      <c r="O19" s="11"/>
    </row>
    <row r="20" spans="5:15" x14ac:dyDescent="0.25">
      <c r="E20" s="10">
        <v>5</v>
      </c>
      <c r="F20" s="9">
        <v>17</v>
      </c>
      <c r="G20" s="11">
        <f>F20/E20</f>
        <v>3.4</v>
      </c>
      <c r="H20" s="15">
        <f>(F20-F19)/(E20-E19)</f>
        <v>3</v>
      </c>
      <c r="I20" s="9">
        <v>50</v>
      </c>
      <c r="J20" s="9">
        <v>500</v>
      </c>
      <c r="K20" s="9">
        <v>550</v>
      </c>
      <c r="L20" s="11"/>
      <c r="M20" s="11"/>
      <c r="N20" s="11"/>
      <c r="O20" s="11"/>
    </row>
    <row r="21" spans="5:15" x14ac:dyDescent="0.25">
      <c r="E21" s="10">
        <v>6</v>
      </c>
      <c r="F21" s="9">
        <v>19</v>
      </c>
      <c r="G21" s="11">
        <f>F21/E21</f>
        <v>3.1666666666666665</v>
      </c>
      <c r="H21" s="15">
        <f>(F21-F20)/(E21-E20)</f>
        <v>2</v>
      </c>
      <c r="I21" s="9">
        <v>50</v>
      </c>
      <c r="J21" s="9">
        <v>600</v>
      </c>
      <c r="K21" s="9">
        <v>650</v>
      </c>
      <c r="L21" s="11"/>
      <c r="M21" s="11"/>
      <c r="N21" s="11"/>
      <c r="O21" s="11"/>
    </row>
    <row r="22" spans="5:15" x14ac:dyDescent="0.25">
      <c r="E22" s="10">
        <v>7</v>
      </c>
      <c r="F22" s="9">
        <v>20</v>
      </c>
      <c r="G22" s="11">
        <f>F22/E22</f>
        <v>2.8571428571428572</v>
      </c>
      <c r="H22" s="15">
        <f>(F22-F21)/(E22-E21)</f>
        <v>1</v>
      </c>
      <c r="I22" s="9">
        <v>50</v>
      </c>
      <c r="J22" s="9">
        <v>700</v>
      </c>
      <c r="K22" s="9">
        <v>750</v>
      </c>
      <c r="L22" s="11"/>
      <c r="M22" s="11"/>
      <c r="N22" s="11"/>
      <c r="O22" s="11"/>
    </row>
    <row r="23" spans="5:15" x14ac:dyDescent="0.25">
      <c r="I23" s="9">
        <v>50</v>
      </c>
      <c r="J23">
        <v>700</v>
      </c>
      <c r="K23">
        <f>J23+I23</f>
        <v>750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5" sqref="A5"/>
    </sheetView>
  </sheetViews>
  <sheetFormatPr defaultRowHeight="15" x14ac:dyDescent="0.25"/>
  <cols>
    <col min="2" max="2" width="17.7109375" customWidth="1"/>
    <col min="3" max="3" width="12" customWidth="1"/>
    <col min="4" max="4" width="20.42578125" customWidth="1"/>
    <col min="5" max="5" width="14.85546875" customWidth="1"/>
    <col min="6" max="6" width="15.140625" customWidth="1"/>
    <col min="7" max="7" width="22.140625" customWidth="1"/>
    <col min="8" max="8" width="22.42578125" customWidth="1"/>
    <col min="9" max="9" width="22.85546875" customWidth="1"/>
    <col min="10" max="10" width="20.28515625" customWidth="1"/>
    <col min="11" max="11" width="16.140625" bestFit="1" customWidth="1"/>
  </cols>
  <sheetData>
    <row r="1" spans="1:12" ht="26.25" x14ac:dyDescent="0.4">
      <c r="C1" s="12" t="s">
        <v>25</v>
      </c>
    </row>
    <row r="4" spans="1:12" ht="31.5" x14ac:dyDescent="0.25">
      <c r="A4" s="13" t="s">
        <v>26</v>
      </c>
      <c r="B4" s="14" t="s">
        <v>27</v>
      </c>
      <c r="C4" s="13" t="s">
        <v>28</v>
      </c>
      <c r="D4" s="14" t="s">
        <v>29</v>
      </c>
      <c r="E4" s="14" t="s">
        <v>30</v>
      </c>
      <c r="F4" s="14" t="s">
        <v>31</v>
      </c>
      <c r="G4" s="14" t="s">
        <v>32</v>
      </c>
      <c r="H4" s="14" t="s">
        <v>33</v>
      </c>
      <c r="I4" s="14" t="s">
        <v>34</v>
      </c>
      <c r="J4" s="13" t="s">
        <v>35</v>
      </c>
      <c r="K4" s="13" t="s">
        <v>36</v>
      </c>
      <c r="L4" s="9"/>
    </row>
    <row r="5" spans="1:12" x14ac:dyDescent="0.25">
      <c r="A5" s="9"/>
      <c r="B5" s="9">
        <f>Produktion!F16</f>
        <v>2</v>
      </c>
      <c r="C5" s="9">
        <f t="shared" ref="C5:C11" si="0">B5*A5</f>
        <v>0</v>
      </c>
      <c r="D5" s="9">
        <f>(C5-0)/(B5-0)</f>
        <v>0</v>
      </c>
      <c r="E5" s="9">
        <f>Produktion!J16</f>
        <v>100</v>
      </c>
      <c r="F5" s="9">
        <f>Produktion!K16</f>
        <v>150</v>
      </c>
      <c r="G5" s="11">
        <f>Produktion!M16</f>
        <v>50</v>
      </c>
      <c r="H5" s="11">
        <f>Produktion!O16</f>
        <v>75</v>
      </c>
      <c r="I5" s="11">
        <f>Produktion!N16</f>
        <v>0</v>
      </c>
      <c r="J5" s="9">
        <f t="shared" ref="J5:J11" si="1">C5-F5</f>
        <v>-150</v>
      </c>
      <c r="K5" s="9">
        <f>(A5-I5)*B5</f>
        <v>0</v>
      </c>
      <c r="L5" s="9"/>
    </row>
    <row r="6" spans="1:12" x14ac:dyDescent="0.25">
      <c r="A6" s="9">
        <f>A5</f>
        <v>0</v>
      </c>
      <c r="B6" s="9">
        <f>Produktion!F17</f>
        <v>5</v>
      </c>
      <c r="C6" s="9">
        <f t="shared" si="0"/>
        <v>0</v>
      </c>
      <c r="D6" s="9">
        <f>(C6-C5)/(B6-B5)</f>
        <v>0</v>
      </c>
      <c r="E6" s="9">
        <f>Produktion!J17</f>
        <v>200</v>
      </c>
      <c r="F6" s="9">
        <f>Produktion!K17</f>
        <v>250</v>
      </c>
      <c r="G6" s="11">
        <f>Produktion!M17</f>
        <v>0</v>
      </c>
      <c r="H6" s="11">
        <f>Produktion!O17</f>
        <v>0</v>
      </c>
      <c r="I6" s="11">
        <f>Produktion!N17</f>
        <v>0</v>
      </c>
      <c r="J6" s="9">
        <f t="shared" si="1"/>
        <v>-250</v>
      </c>
      <c r="K6" s="9">
        <f t="shared" ref="K6:K11" si="2">(A6-I6)*B6</f>
        <v>0</v>
      </c>
      <c r="L6" s="9"/>
    </row>
    <row r="7" spans="1:12" x14ac:dyDescent="0.25">
      <c r="A7" s="9">
        <f t="shared" ref="A7:A11" si="3">A6</f>
        <v>0</v>
      </c>
      <c r="B7" s="9">
        <f>Produktion!F18</f>
        <v>9</v>
      </c>
      <c r="C7" s="9">
        <f t="shared" si="0"/>
        <v>0</v>
      </c>
      <c r="D7" s="9">
        <f t="shared" ref="D7:D11" si="4">(C7-C6)/(B7-B6)</f>
        <v>0</v>
      </c>
      <c r="E7" s="9">
        <f>Produktion!J18</f>
        <v>300</v>
      </c>
      <c r="F7" s="9">
        <f>Produktion!K18</f>
        <v>350</v>
      </c>
      <c r="G7" s="11">
        <f>Produktion!M18</f>
        <v>0</v>
      </c>
      <c r="H7" s="11">
        <f>Produktion!O18</f>
        <v>0</v>
      </c>
      <c r="I7" s="11">
        <f>Produktion!N18</f>
        <v>0</v>
      </c>
      <c r="J7" s="9">
        <f t="shared" si="1"/>
        <v>-350</v>
      </c>
      <c r="K7" s="9">
        <f t="shared" si="2"/>
        <v>0</v>
      </c>
      <c r="L7" s="9"/>
    </row>
    <row r="8" spans="1:12" x14ac:dyDescent="0.25">
      <c r="A8" s="9">
        <f t="shared" si="3"/>
        <v>0</v>
      </c>
      <c r="B8" s="9">
        <f>Produktion!F19</f>
        <v>14</v>
      </c>
      <c r="C8" s="9">
        <f t="shared" si="0"/>
        <v>0</v>
      </c>
      <c r="D8" s="9">
        <f t="shared" si="4"/>
        <v>0</v>
      </c>
      <c r="E8" s="9">
        <f>Produktion!J19</f>
        <v>400</v>
      </c>
      <c r="F8" s="9">
        <f>Produktion!K19</f>
        <v>450</v>
      </c>
      <c r="G8" s="11">
        <f>Produktion!M19</f>
        <v>0</v>
      </c>
      <c r="H8" s="11">
        <f>Produktion!O19</f>
        <v>0</v>
      </c>
      <c r="I8" s="11">
        <f>Produktion!N19</f>
        <v>0</v>
      </c>
      <c r="J8" s="9">
        <f t="shared" si="1"/>
        <v>-450</v>
      </c>
      <c r="K8" s="9">
        <f t="shared" si="2"/>
        <v>0</v>
      </c>
      <c r="L8" s="9"/>
    </row>
    <row r="9" spans="1:12" x14ac:dyDescent="0.25">
      <c r="A9" s="9">
        <f t="shared" si="3"/>
        <v>0</v>
      </c>
      <c r="B9" s="9">
        <f>Produktion!F20</f>
        <v>17</v>
      </c>
      <c r="C9" s="9">
        <f t="shared" si="0"/>
        <v>0</v>
      </c>
      <c r="D9" s="9">
        <f t="shared" si="4"/>
        <v>0</v>
      </c>
      <c r="E9" s="9">
        <f>Produktion!J20</f>
        <v>500</v>
      </c>
      <c r="F9" s="9">
        <f>Produktion!K20</f>
        <v>550</v>
      </c>
      <c r="G9" s="11">
        <f>Produktion!M20</f>
        <v>0</v>
      </c>
      <c r="H9" s="11">
        <f>Produktion!O20</f>
        <v>0</v>
      </c>
      <c r="I9" s="11">
        <f>Produktion!N20</f>
        <v>0</v>
      </c>
      <c r="J9" s="9">
        <f t="shared" si="1"/>
        <v>-550</v>
      </c>
      <c r="K9" s="9">
        <f t="shared" si="2"/>
        <v>0</v>
      </c>
      <c r="L9" s="9"/>
    </row>
    <row r="10" spans="1:12" x14ac:dyDescent="0.25">
      <c r="A10" s="9">
        <f t="shared" si="3"/>
        <v>0</v>
      </c>
      <c r="B10" s="9">
        <f>Produktion!F21</f>
        <v>19</v>
      </c>
      <c r="C10" s="9">
        <f t="shared" si="0"/>
        <v>0</v>
      </c>
      <c r="D10" s="9">
        <f t="shared" si="4"/>
        <v>0</v>
      </c>
      <c r="E10" s="9">
        <f>Produktion!J21</f>
        <v>600</v>
      </c>
      <c r="F10" s="9">
        <f>Produktion!K21</f>
        <v>650</v>
      </c>
      <c r="G10" s="11">
        <f>Produktion!M21</f>
        <v>0</v>
      </c>
      <c r="H10" s="11">
        <f>Produktion!O21</f>
        <v>0</v>
      </c>
      <c r="I10" s="11">
        <f>Produktion!N21</f>
        <v>0</v>
      </c>
      <c r="J10" s="9">
        <f t="shared" si="1"/>
        <v>-650</v>
      </c>
      <c r="K10" s="9">
        <f t="shared" si="2"/>
        <v>0</v>
      </c>
      <c r="L10" s="9"/>
    </row>
    <row r="11" spans="1:12" x14ac:dyDescent="0.25">
      <c r="A11" s="9">
        <f t="shared" si="3"/>
        <v>0</v>
      </c>
      <c r="B11" s="9">
        <f>Produktion!F22</f>
        <v>20</v>
      </c>
      <c r="C11" s="9">
        <f t="shared" si="0"/>
        <v>0</v>
      </c>
      <c r="D11" s="9">
        <f t="shared" si="4"/>
        <v>0</v>
      </c>
      <c r="E11" s="9">
        <f>Produktion!J22</f>
        <v>700</v>
      </c>
      <c r="F11" s="9">
        <f>Produktion!K22</f>
        <v>750</v>
      </c>
      <c r="G11" s="11">
        <f>Produktion!M22</f>
        <v>0</v>
      </c>
      <c r="H11" s="11">
        <f>Produktion!O21</f>
        <v>0</v>
      </c>
      <c r="I11" s="11">
        <f>Produktion!N22</f>
        <v>0</v>
      </c>
      <c r="J11" s="9">
        <f t="shared" si="1"/>
        <v>-750</v>
      </c>
      <c r="K11" s="9">
        <f t="shared" si="2"/>
        <v>0</v>
      </c>
    </row>
    <row r="14" spans="1:12" x14ac:dyDescent="0.25">
      <c r="E1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Produktion</vt:lpstr>
      <vt:lpstr>Omsætning</vt:lpstr>
      <vt:lpstr>Ark3</vt:lpstr>
    </vt:vector>
  </TitlesOfParts>
  <Manager/>
  <Company>Handelsskolen København Nord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Your User Name</dc:creator>
  <cp:keywords/>
  <dc:description/>
  <cp:lastModifiedBy>Batman</cp:lastModifiedBy>
  <cp:revision/>
  <dcterms:created xsi:type="dcterms:W3CDTF">2009-10-04T09:07:24Z</dcterms:created>
  <dcterms:modified xsi:type="dcterms:W3CDTF">2021-10-06T07:22:00Z</dcterms:modified>
  <cp:category/>
  <cp:contentStatus/>
</cp:coreProperties>
</file>